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  <sheet name="Dashboard" sheetId="2" state="visible" r:id="rId4"/>
    <sheet name="How To Use" sheetId="3" state="visible" r:id="rId5"/>
  </sheets>
  <definedNames>
    <definedName function="false" hidden="true" localSheetId="0" name="_xlnm._FilterDatabase" vbProcedure="false">'Task Tracker'!$A$3:$J$53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<sst xmlns="http://schemas.openxmlformats.org/spreadsheetml/2006/main" count="521" uniqueCount="257">
  <si>
    <t xml:space="preserve">Brookline Budget Reform — Project Task Tracker</t>
  </si>
  <si>
    <t xml:space="preserve">Update status directly in this sheet. Filter by Branch, Status, or Priority to focus your work session.</t>
  </si>
  <si>
    <t xml:space="preserve">Branch</t>
  </si>
  <si>
    <t xml:space="preserve">Workstream</t>
  </si>
  <si>
    <t xml:space="preserve">Task</t>
  </si>
  <si>
    <t xml:space="preserve">Status</t>
  </si>
  <si>
    <t xml:space="preserve">Priority</t>
  </si>
  <si>
    <t xml:space="preserve">Owner</t>
  </si>
  <si>
    <t xml:space="preserve">Due / Notes</t>
  </si>
  <si>
    <t xml:space="preserve">Dependency</t>
  </si>
  <si>
    <t xml:space="preserve">Output</t>
  </si>
  <si>
    <t xml:space="preserve">Last Updated</t>
  </si>
  <si>
    <t xml:space="preserve">B1 · Econ Dev</t>
  </si>
  <si>
    <t xml:space="preserve">Site inventory</t>
  </si>
  <si>
    <t xml:space="preserve">Pull Brookline commercial parcel data from Assessor's Office</t>
  </si>
  <si>
    <t xml:space="preserve">To Do</t>
  </si>
  <si>
    <t xml:space="preserve">High</t>
  </si>
  <si>
    <t xml:space="preserve">brooklinema.gov/assessor</t>
  </si>
  <si>
    <t xml:space="preserve">—</t>
  </si>
  <si>
    <t xml:space="preserve">Commercial parcel spreadsheet</t>
  </si>
  <si>
    <t xml:space="preserve">Apply RKG Fiscal Impact Model to top 10 development sites</t>
  </si>
  <si>
    <t xml:space="preserve">Need RKG model access from Planning Dept</t>
  </si>
  <si>
    <t xml:space="preserve">Parcel data first</t>
  </si>
  <si>
    <t xml:space="preserve">Revenue per site estimates</t>
  </si>
  <si>
    <t xml:space="preserve">Build prioritized 10-year development pipeline with timeline estimates</t>
  </si>
  <si>
    <t xml:space="preserve">Medium</t>
  </si>
  <si>
    <t xml:space="preserve">Site estimates</t>
  </si>
  <si>
    <t xml:space="preserve">Pipeline doc</t>
  </si>
  <si>
    <t xml:space="preserve">Zoning reform</t>
  </si>
  <si>
    <t xml:space="preserve">Map current FAR and height limits for top commercial corridors (Beacon St, Harvard St, Rt 9)</t>
  </si>
  <si>
    <t xml:space="preserve">Zoning By-Law + GIS maps</t>
  </si>
  <si>
    <t xml:space="preserve">Zoning gap analysis</t>
  </si>
  <si>
    <t xml:space="preserve">Research Cambridge/Somerville as-of-right zoning models and revenue outcomes</t>
  </si>
  <si>
    <t xml:space="preserve">Web research + DLS snapshots</t>
  </si>
  <si>
    <t xml:space="preserve">Comparable zoning memo</t>
  </si>
  <si>
    <t xml:space="preserve">Draft specific zoning changes needed to unlock top 5 stalled sites</t>
  </si>
  <si>
    <t xml:space="preserve">Zoning reform proposal</t>
  </si>
  <si>
    <t xml:space="preserve">PILOT program</t>
  </si>
  <si>
    <t xml:space="preserve">Obtain full list of tax-exempt properties from Assessor</t>
  </si>
  <si>
    <t xml:space="preserve">Non-profit property list</t>
  </si>
  <si>
    <t xml:space="preserve">Estimate value of non-exempt use properties for top 20 non-profit holders</t>
  </si>
  <si>
    <t xml:space="preserve">PILOT revenue estimate</t>
  </si>
  <si>
    <t xml:space="preserve">Research existing Brookline PILOT agreements (e.g. 2 Brookline Place, Newbury on Fisher Hill)</t>
  </si>
  <si>
    <t xml:space="preserve">Town Counsel / Assessor records</t>
  </si>
  <si>
    <t xml:space="preserve">PILOT precedent memo</t>
  </si>
  <si>
    <t xml:space="preserve">Design structured PILOT program with incentives and consequences</t>
  </si>
  <si>
    <t xml:space="preserve">Low</t>
  </si>
  <si>
    <t xml:space="preserve">Revenue estimate + precedents</t>
  </si>
  <si>
    <t xml:space="preserve">Draft PILOT policy</t>
  </si>
  <si>
    <t xml:space="preserve">Asset monetization</t>
  </si>
  <si>
    <t xml:space="preserve">Audit municipal parking lots: capacity, current revenue, lease potential</t>
  </si>
  <si>
    <t xml:space="preserve">DPW + Parking Dept data</t>
  </si>
  <si>
    <t xml:space="preserve">Parking revenue analysis</t>
  </si>
  <si>
    <t xml:space="preserve">Research golf course revenue vs. comparable municipal courses</t>
  </si>
  <si>
    <t xml:space="preserve">Recreation Dept financials</t>
  </si>
  <si>
    <t xml:space="preserve">Golf course memo</t>
  </si>
  <si>
    <t xml:space="preserve">Map school building off-hours capacity and current rental rates vs. market</t>
  </si>
  <si>
    <t xml:space="preserve">PSB facilities data + E&amp;RSC appendix</t>
  </si>
  <si>
    <t xml:space="preserve">Facilities rental gap analysis</t>
  </si>
  <si>
    <t xml:space="preserve">OOD SpEd expansion</t>
  </si>
  <si>
    <t xml:space="preserve">Quantify current OOD SpEd program capacity and waitlist demand</t>
  </si>
  <si>
    <t xml:space="preserve">PSB FY27 budget + DESE tuition tables</t>
  </si>
  <si>
    <t xml:space="preserve">OOD capacity memo</t>
  </si>
  <si>
    <t xml:space="preserve">Model revenue from expanding Winthrop House, ALC, LAHB to external students</t>
  </si>
  <si>
    <t xml:space="preserve">PSB FY27 budget (published Feb 5, 2026)</t>
  </si>
  <si>
    <t xml:space="preserve">Capacity memo</t>
  </si>
  <si>
    <t xml:space="preserve">OOD revenue model</t>
  </si>
  <si>
    <t xml:space="preserve">Governance</t>
  </si>
  <si>
    <t xml:space="preserve">Draft proposed org structure: SB econ dev lead + elevated planning division</t>
  </si>
  <si>
    <t xml:space="preserve">E&amp;RSC recommendations as baseline</t>
  </si>
  <si>
    <t xml:space="preserve">Governance proposal</t>
  </si>
  <si>
    <t xml:space="preserve">B2 · Legislative</t>
  </si>
  <si>
    <t xml:space="preserve">METCO SpEd costs</t>
  </si>
  <si>
    <t xml:space="preserve">Pull DESE SY24 in-district SpEd per-pupil cost data for Brookline</t>
  </si>
  <si>
    <t xml:space="preserve">dese.mass.edu — public data</t>
  </si>
  <si>
    <t xml:space="preserve">SpEd cost baseline</t>
  </si>
  <si>
    <t xml:space="preserve">Quantify non-resident SpEd enrollment breakdown (METCO vs Materials Fee)</t>
  </si>
  <si>
    <t xml:space="preserve">PSB enrollment data — partial in E&amp;RSC appendix</t>
  </si>
  <si>
    <t xml:space="preserve">Non-resident SpEd enrollment table</t>
  </si>
  <si>
    <t xml:space="preserve">Calculate total annual unreimbursed SpEd cost with confidence interval</t>
  </si>
  <si>
    <t xml:space="preserve">Cost baseline + enrollment table</t>
  </si>
  <si>
    <t xml:space="preserve">Core financial claim ($4M figure)</t>
  </si>
  <si>
    <t xml:space="preserve">Coalition mapping</t>
  </si>
  <si>
    <t xml:space="preserve">Research METCO enrollment at Newton, Wellesley, Lexington + their SpEd burden</t>
  </si>
  <si>
    <t xml:space="preserve">DESE public data + district annual reports</t>
  </si>
  <si>
    <t xml:space="preserve">Coalition data brief</t>
  </si>
  <si>
    <t xml:space="preserve">Identify CFO/Superintendent contacts at Newton, Wellesley, Lexington for outreach</t>
  </si>
  <si>
    <t xml:space="preserve">District websites</t>
  </si>
  <si>
    <t xml:space="preserve">Coalition data</t>
  </si>
  <si>
    <t xml:space="preserve">Contact list</t>
  </si>
  <si>
    <t xml:space="preserve">Estimate total statewide unreimbursed METCO SpEd cost across all receiving districts</t>
  </si>
  <si>
    <t xml:space="preserve">DESE METCO program data</t>
  </si>
  <si>
    <t xml:space="preserve">Statewide impact figure</t>
  </si>
  <si>
    <t xml:space="preserve">Legislative strategy</t>
  </si>
  <si>
    <t xml:space="preserve">Identify Brookline's current State House delegation (Rep + Senator)</t>
  </si>
  <si>
    <t xml:space="preserve">malegislature.gov</t>
  </si>
  <si>
    <t xml:space="preserve">Delegation contact sheet</t>
  </si>
  <si>
    <t xml:space="preserve">Search for existing bills on METCO reimbursement, Prop 2½, Ch. 70 reform</t>
  </si>
  <si>
    <t xml:space="preserve">malegislature.gov + MMA legislative tracker</t>
  </si>
  <si>
    <t xml:space="preserve">Existing bills memo</t>
  </si>
  <si>
    <t xml:space="preserve">Determine best legislative vehicle: Ed Reform amendment vs. budget line item vs. Home Rule</t>
  </si>
  <si>
    <t xml:space="preserve">Town Counsel consultation recommended</t>
  </si>
  <si>
    <t xml:space="preserve">Legislative pathway recommendation</t>
  </si>
  <si>
    <t xml:space="preserve">Chapter 70 reform</t>
  </si>
  <si>
    <t xml:space="preserve">Analyze Brookline's Chapter 70 aid vs. foundation budget — is Brookline underfunded?</t>
  </si>
  <si>
    <t xml:space="preserve">DESE Foundation Budget data (public)</t>
  </si>
  <si>
    <t xml:space="preserve">Ch. 70 gap analysis</t>
  </si>
  <si>
    <t xml:space="preserve">Research MMA's Chapter 70 reform proposals and Brookline's historical position</t>
  </si>
  <si>
    <t xml:space="preserve">mma.org research + MMA 'Weathering the Storm' report</t>
  </si>
  <si>
    <t xml:space="preserve">Ch. 70 reform memo</t>
  </si>
  <si>
    <t xml:space="preserve">New revenue tools</t>
  </si>
  <si>
    <t xml:space="preserve">Research MA transfer tax legislation status (Boston/Cambridge precedent)</t>
  </si>
  <si>
    <t xml:space="preserve">malegislature.gov + Boston City Council records</t>
  </si>
  <si>
    <t xml:space="preserve">Transfer tax memo</t>
  </si>
  <si>
    <t xml:space="preserve">Inventory Home Rule petition options available to Brookline for new revenue tools</t>
  </si>
  <si>
    <t xml:space="preserve">MA GL Home Rule authority + Town Counsel</t>
  </si>
  <si>
    <t xml:space="preserve">Home Rule options list</t>
  </si>
  <si>
    <t xml:space="preserve">B3 · OPEB Pivot</t>
  </si>
  <si>
    <t xml:space="preserve">OPEB liability</t>
  </si>
  <si>
    <t xml:space="preserve">Extract key figures from GASB 74/75 actuarial report (in E&amp;RSC appendix)</t>
  </si>
  <si>
    <t xml:space="preserve">Already in E&amp;RSC appendix — June 30, 2024 data</t>
  </si>
  <si>
    <t xml:space="preserve">OPEB liability baseline</t>
  </si>
  <si>
    <t xml:space="preserve">Determine current annual required contribution (ARC) and unfunded liability total</t>
  </si>
  <si>
    <t xml:space="preserve">GASB 74/75 report + MA PERAC data</t>
  </si>
  <si>
    <t xml:space="preserve">Liability baseline</t>
  </si>
  <si>
    <t xml:space="preserve">OPEB funding requirement</t>
  </si>
  <si>
    <t xml:space="preserve">Project OPEB liability growth at current trajectory through FY35</t>
  </si>
  <si>
    <t xml:space="preserve">Actuarial growth rate assumptions</t>
  </si>
  <si>
    <t xml:space="preserve">Funding requirement</t>
  </si>
  <si>
    <t xml:space="preserve">OPEB projection model</t>
  </si>
  <si>
    <t xml:space="preserve">$40M scenarios</t>
  </si>
  <si>
    <t xml:space="preserve">Build Scenario A model: all $40M to OPEB starting FY31</t>
  </si>
  <si>
    <t xml:space="preserve">E&amp;RSC Long-Range Financial Plan as baseline</t>
  </si>
  <si>
    <t xml:space="preserve">OPEB projection</t>
  </si>
  <si>
    <t xml:space="preserve">Scenario A model</t>
  </si>
  <si>
    <t xml:space="preserve">Build Scenario B model: $25M OPEB / $15M structural relief split</t>
  </si>
  <si>
    <t xml:space="preserve">Scenario B model</t>
  </si>
  <si>
    <t xml:space="preserve">Build Scenario C model: dynamic allocation tied to deficit + econ dev revenue</t>
  </si>
  <si>
    <t xml:space="preserve">Scenarios A+B</t>
  </si>
  <si>
    <t xml:space="preserve">Scenario C model</t>
  </si>
  <si>
    <t xml:space="preserve">Build Scenario D model: healthcare reform first, then OPEB pivot from stronger position</t>
  </si>
  <si>
    <t xml:space="preserve">Healthcare analysis</t>
  </si>
  <si>
    <t xml:space="preserve">Scenario D model</t>
  </si>
  <si>
    <t xml:space="preserve">Moody's sensitivity</t>
  </si>
  <si>
    <t xml:space="preserve">Map which Moody's scoring factors OPEB funding affects (from E&amp;RSC appendix scorecard)</t>
  </si>
  <si>
    <t xml:space="preserve">Moody's scorecard already in E&amp;RSC appendix</t>
  </si>
  <si>
    <t xml:space="preserve">Moody's factor map</t>
  </si>
  <si>
    <t xml:space="preserve">Model rating impact under Scenarios A-D — identify downgrade threshold</t>
  </si>
  <si>
    <t xml:space="preserve">Requires financial advisor input ideally</t>
  </si>
  <si>
    <t xml:space="preserve">Moody's factor map + scenarios</t>
  </si>
  <si>
    <t xml:space="preserve">Rating sensitivity analysis</t>
  </si>
  <si>
    <t xml:space="preserve">Healthcare reform</t>
  </si>
  <si>
    <t xml:space="preserve">Pull MA Group Insurance Commission (GIC) current rate schedules</t>
  </si>
  <si>
    <t xml:space="preserve">mass.gov/gic — public</t>
  </si>
  <si>
    <t xml:space="preserve">GIC rate comparison</t>
  </si>
  <si>
    <t xml:space="preserve">Model annual savings from reducing employer premium share: 83% → 76% → GIC</t>
  </si>
  <si>
    <t xml:space="preserve">E&amp;RSC comparable community data + GIC rates</t>
  </si>
  <si>
    <t xml:space="preserve">GIC rates</t>
  </si>
  <si>
    <t xml:space="preserve">Healthcare savings model</t>
  </si>
  <si>
    <t xml:space="preserve">Research collective bargaining constraints on changing premium contribution rate</t>
  </si>
  <si>
    <t xml:space="preserve">Brookline union contracts + MA GL c.32B</t>
  </si>
  <si>
    <t xml:space="preserve">CBA constraints memo</t>
  </si>
  <si>
    <t xml:space="preserve">Comparables</t>
  </si>
  <si>
    <t xml:space="preserve">Research how Newton, Wellesley, Lexington have planned for pension-to-OPEB transition</t>
  </si>
  <si>
    <t xml:space="preserve">Comparable city annual reports + MA PERAC</t>
  </si>
  <si>
    <t xml:space="preserve">Comparable OPEB strategies</t>
  </si>
  <si>
    <t xml:space="preserve">Deficit projection</t>
  </si>
  <si>
    <t xml:space="preserve">Project operating deficit FY27–FY35 under 3 scenarios (no reform / B1+B2 conservative / optimistic)</t>
  </si>
  <si>
    <t xml:space="preserve">E&amp;RSC Long-Range Plan + branch research outputs</t>
  </si>
  <si>
    <t xml:space="preserve">All branch research</t>
  </si>
  <si>
    <t xml:space="preserve">Integrated deficit model</t>
  </si>
  <si>
    <t xml:space="preserve">Synthesis</t>
  </si>
  <si>
    <t xml:space="preserve">Proposal draft</t>
  </si>
  <si>
    <t xml:space="preserve">Draft Branch 1 section with data-backed recommendations and impact estimates</t>
  </si>
  <si>
    <t xml:space="preserve">All B1 research complete</t>
  </si>
  <si>
    <t xml:space="preserve">Branch 1 draft</t>
  </si>
  <si>
    <t xml:space="preserve">Draft Branch 2 section with legislative pathway and coalition strategy</t>
  </si>
  <si>
    <t xml:space="preserve">All B2 research complete</t>
  </si>
  <si>
    <t xml:space="preserve">Branch 2 draft</t>
  </si>
  <si>
    <t xml:space="preserve">Draft Branch 3 section with scenario analysis and policy recommendation</t>
  </si>
  <si>
    <t xml:space="preserve">All B3 research complete</t>
  </si>
  <si>
    <t xml:space="preserve">Branch 3 draft</t>
  </si>
  <si>
    <t xml:space="preserve">Write integrated proposal narrative connecting all three branches</t>
  </si>
  <si>
    <t xml:space="preserve">All branch drafts</t>
  </si>
  <si>
    <t xml:space="preserve">Full proposal draft</t>
  </si>
  <si>
    <t xml:space="preserve">Build combined impact model showing phased deficit reduction FY27–FY35</t>
  </si>
  <si>
    <t xml:space="preserve">All branch models</t>
  </si>
  <si>
    <t xml:space="preserve">Master financial model</t>
  </si>
  <si>
    <t xml:space="preserve">Delivery</t>
  </si>
  <si>
    <t xml:space="preserve">Identify target audience and presentation format (Select Board / Town Meeting / public)</t>
  </si>
  <si>
    <t xml:space="preserve">Full draft</t>
  </si>
  <si>
    <t xml:space="preserve">Delivery strategy</t>
  </si>
  <si>
    <t xml:space="preserve">Prepare executive summary (1-2 pages) for non-technical audience</t>
  </si>
  <si>
    <t xml:space="preserve">Executive summary</t>
  </si>
  <si>
    <t xml:space="preserve">Project Dashboard</t>
  </si>
  <si>
    <t xml:space="preserve">Formulas pull live from Task Tracker sheet. Update statuses there and this refreshes automatically.</t>
  </si>
  <si>
    <t xml:space="preserve">Overall Progress</t>
  </si>
  <si>
    <t xml:space="preserve">Total Tasks</t>
  </si>
  <si>
    <t xml:space="preserve">Done</t>
  </si>
  <si>
    <t xml:space="preserve">In Progress</t>
  </si>
  <si>
    <t xml:space="preserve">Blocked</t>
  </si>
  <si>
    <t xml:space="preserve">% Complete</t>
  </si>
  <si>
    <t xml:space="preserve">Branch 1 — Economic Development</t>
  </si>
  <si>
    <t xml:space="preserve">Branch 2 — Legislative Strategy</t>
  </si>
  <si>
    <t xml:space="preserve">Branch 3 — OPEB Pivot</t>
  </si>
  <si>
    <t xml:space="preserve">Synthesis &amp; Delivery</t>
  </si>
  <si>
    <t xml:space="preserve">TOTAL</t>
  </si>
  <si>
    <t xml:space="preserve">Priority Breakdown — All Open Tasks</t>
  </si>
  <si>
    <t xml:space="preserve">Total</t>
  </si>
  <si>
    <t xml:space="preserve">Remaining</t>
  </si>
  <si>
    <t xml:space="preserve">How To Use This Tracker</t>
  </si>
  <si>
    <t xml:space="preserve">UPDATING TASKS</t>
  </si>
  <si>
    <t xml:space="preserve">Status options:</t>
  </si>
  <si>
    <t xml:space="preserve">To Do  |  In Progress  |  Done  |  Blocked</t>
  </si>
  <si>
    <t xml:space="preserve">Priority options:</t>
  </si>
  <si>
    <t xml:space="preserve">High  |  Medium  |  Low</t>
  </si>
  <si>
    <t xml:space="preserve">Owner:</t>
  </si>
  <si>
    <t xml:space="preserve">Enter your name or initials in the Owner column</t>
  </si>
  <si>
    <t xml:space="preserve">Last Updated:</t>
  </si>
  <si>
    <t xml:space="preserve">Type today's date when you change a row</t>
  </si>
  <si>
    <t xml:space="preserve">Due / Notes:</t>
  </si>
  <si>
    <t xml:space="preserve">Use this for deadlines, context, or where to find source data</t>
  </si>
  <si>
    <t xml:space="preserve">FILTERING</t>
  </si>
  <si>
    <t xml:space="preserve">Filter by Branch:</t>
  </si>
  <si>
    <t xml:space="preserve">Click the dropdown on column A to focus on B1, B2, B3, or Synthesis</t>
  </si>
  <si>
    <t xml:space="preserve">Filter by Status:</t>
  </si>
  <si>
    <t xml:space="preserve">Column D — show only 'To Do' or 'In Progress' to see what's active</t>
  </si>
  <si>
    <t xml:space="preserve">Filter by Priority:</t>
  </si>
  <si>
    <t xml:space="preserve">Column E — start each session by showing only 'High' priority tasks</t>
  </si>
  <si>
    <t xml:space="preserve">Clear filters:</t>
  </si>
  <si>
    <t xml:space="preserve">Data &gt; Clear Filter, or click the filter icon and select All</t>
  </si>
  <si>
    <t xml:space="preserve">STATUS COLORS</t>
  </si>
  <si>
    <t xml:space="preserve">Gray — not started yet</t>
  </si>
  <si>
    <t xml:space="preserve">Yellow — actively being worked on</t>
  </si>
  <si>
    <t xml:space="preserve">Green — complete</t>
  </si>
  <si>
    <t xml:space="preserve">Red — waiting on something external</t>
  </si>
  <si>
    <t xml:space="preserve">DASHBOARD</t>
  </si>
  <si>
    <t xml:space="preserve">Live counts:</t>
  </si>
  <si>
    <t xml:space="preserve">The Dashboard sheet pulls live COUNTIF formulas from Task Tracker</t>
  </si>
  <si>
    <t xml:space="preserve">Refresh:</t>
  </si>
  <si>
    <t xml:space="preserve">Dashboard updates automatically as you change statuses — no action needed</t>
  </si>
  <si>
    <t xml:space="preserve">ADDING NEW TASKS</t>
  </si>
  <si>
    <t xml:space="preserve">Add rows:</t>
  </si>
  <si>
    <t xml:space="preserve">Insert a new row anywhere in the Task Tracker and fill in all columns</t>
  </si>
  <si>
    <t xml:space="preserve">Branch values:</t>
  </si>
  <si>
    <t xml:space="preserve">Must match exactly: B1 · Econ Dev | B2 · Legislative | B3 · OPEB Pivot | Synthesis</t>
  </si>
  <si>
    <t xml:space="preserve">Status values:</t>
  </si>
  <si>
    <t xml:space="preserve">Must match exactly: To Do | In Progress | Done | Blocked</t>
  </si>
  <si>
    <t xml:space="preserve">Priority values:</t>
  </si>
  <si>
    <t xml:space="preserve">Must match exactly: High | Medium | Low</t>
  </si>
  <si>
    <t xml:space="preserve">WORKFLOW SUGGESTION</t>
  </si>
  <si>
    <t xml:space="preserve">Start of session:</t>
  </si>
  <si>
    <t xml:space="preserve">Filter Status = In Progress. See what you were working on.</t>
  </si>
  <si>
    <t xml:space="preserve">Research sprint:</t>
  </si>
  <si>
    <t xml:space="preserve">Filter Priority = High, Status = To Do. Pick your next task.</t>
  </si>
  <si>
    <t xml:space="preserve">End of session:</t>
  </si>
  <si>
    <t xml:space="preserve">Update statuses. Add notes in Due/Notes. Update Last Updated 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</si>
</sst>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0"/>
      <name val="Arial"/>
      <family val="0"/>
      <charset val="1"/>
    </font>
    <font>
      <sz val="9"/>
      <color rgb="FF444441"/>
      <name val="Arial"/>
      <family val="0"/>
      <charset val="1"/>
    </font>
    <font>
      <sz val="10"/>
      <color rgb="FF1A1A18"/>
      <name val="Arial"/>
      <family val="0"/>
      <charset val="1"/>
    </font>
    <font>
      <b val="true"/>
      <sz val="9"/>
      <color rgb="FF1A1A18"/>
      <name val="Arial"/>
      <family val="0"/>
      <charset val="1"/>
    </font>
    <font>
      <sz val="9"/>
      <color rgb="FF1A1A18"/>
      <name val="Arial"/>
      <family val="0"/>
      <charset val="1"/>
    </font>
    <font>
      <b val="true"/>
      <sz val="11"/>
      <color rgb="FF1A1A18"/>
      <name val="Arial"/>
      <family val="0"/>
      <charset val="1"/>
    </font>
    <font>
      <b val="true"/>
      <sz val="10"/>
      <color rgb="FF1A1A18"/>
      <name val="Arial"/>
      <family val="0"/>
      <charset val="1"/>
    </font>
    <font>
      <b val="true"/>
      <sz val="9"/>
      <color rgb="FF185FA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42C53"/>
        <bgColor rgb="FF1A1A18"/>
      </patternFill>
    </fill>
    <fill>
      <patternFill patternType="solid">
        <fgColor rgb="FF185FA5"/>
        <bgColor rgb="FF008080"/>
      </patternFill>
    </fill>
    <fill>
      <patternFill patternType="solid">
        <fgColor rgb="FFD6E8F7"/>
        <bgColor rgb="FFD4EFE7"/>
      </patternFill>
    </fill>
    <fill>
      <patternFill patternType="solid">
        <fgColor rgb="FFF9F8F5"/>
        <bgColor rgb="FFFAFAF8"/>
      </patternFill>
    </fill>
    <fill>
      <patternFill patternType="solid">
        <fgColor rgb="FFF1EFE8"/>
        <bgColor rgb="FFF7F6F2"/>
      </patternFill>
    </fill>
    <fill>
      <patternFill patternType="solid">
        <fgColor rgb="FFFFFFFF"/>
        <bgColor rgb="FFFAFAF8"/>
      </patternFill>
    </fill>
    <fill>
      <patternFill patternType="solid">
        <fgColor rgb="FFD4EFE7"/>
        <bgColor rgb="FFD6E8F7"/>
      </patternFill>
    </fill>
    <fill>
      <patternFill patternType="solid">
        <fgColor rgb="FFFAE8C8"/>
        <bgColor rgb="FFF1EFE8"/>
      </patternFill>
    </fill>
    <fill>
      <patternFill patternType="solid">
        <fgColor rgb="FFEDE9F8"/>
        <bgColor rgb="FFF1EFE8"/>
      </patternFill>
    </fill>
    <fill>
      <patternFill patternType="solid">
        <fgColor rgb="FFFAFAF8"/>
        <bgColor rgb="FFF9F8F5"/>
      </patternFill>
    </fill>
    <fill>
      <patternFill patternType="solid">
        <fgColor rgb="FFF7F6F2"/>
        <bgColor rgb="FFF9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85FA5"/>
          <bgColor rgb="FF000000"/>
        </patternFill>
      </fill>
    </dxf>
    <dxf>
      <fill>
        <patternFill patternType="solid">
          <fgColor rgb="FFD4EFE7"/>
          <bgColor rgb="FF000000"/>
        </patternFill>
      </fill>
    </dxf>
    <dxf>
      <fill>
        <patternFill patternType="solid">
          <fgColor rgb="FFD6E8F7"/>
          <bgColor rgb="FF000000"/>
        </patternFill>
      </fill>
    </dxf>
    <dxf>
      <fill>
        <patternFill patternType="solid">
          <fgColor rgb="FFEDE9F8"/>
          <bgColor rgb="FF000000"/>
        </patternFill>
      </fill>
    </dxf>
    <dxf>
      <fill>
        <patternFill patternType="solid">
          <fgColor rgb="FFFAE8C8"/>
          <bgColor rgb="FF000000"/>
        </patternFill>
      </fill>
    </dxf>
    <dxf>
      <fill>
        <patternFill patternType="solid">
          <fgColor rgb="FF333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9F8F5"/>
          <bgColor rgb="FF000000"/>
        </patternFill>
      </fill>
    </dxf>
    <dxf>
      <fill>
        <patternFill patternType="solid">
          <fgColor rgb="FF444441"/>
          <bgColor rgb="FF000000"/>
        </patternFill>
      </fill>
    </dxf>
    <dxf>
      <fill>
        <patternFill patternType="solid">
          <fgColor rgb="FF1A1A18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9F8F5"/>
      <rgbColor rgb="FFD4EFE7"/>
      <rgbColor rgb="FF660066"/>
      <rgbColor rgb="FFFF8080"/>
      <rgbColor rgb="FF185FA5"/>
      <rgbColor rgb="FFEDE9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1EFE8"/>
      <rgbColor rgb="FFFAE8C8"/>
      <rgbColor rgb="FFFAFAF8"/>
      <rgbColor rgb="FFFF99CC"/>
      <rgbColor rgb="FFCC99FF"/>
      <rgbColor rgb="FFF7F6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42C53"/>
      <rgbColor rgb="FF339966"/>
      <rgbColor rgb="FF003300"/>
      <rgbColor rgb="FF1A1A18"/>
      <rgbColor rgb="FF993300"/>
      <rgbColor rgb="FF993366"/>
      <rgbColor rgb="FF444441"/>
      <rgbColor rgb="FF333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22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0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8" t="s">
        <v>16</v>
      </c>
      <c r="F4" s="5"/>
      <c r="G4" s="5" t="s">
        <v>17</v>
      </c>
      <c r="H4" s="5" t="s">
        <v>18</v>
      </c>
      <c r="I4" s="5" t="s">
        <v>19</v>
      </c>
      <c r="J4" s="9" t="s">
        <v>18</v>
      </c>
    </row>
    <row r="5" customFormat="false" ht="30" hidden="false" customHeight="true" outlineLevel="0" collapsed="false">
      <c r="A5" s="4" t="s">
        <v>12</v>
      </c>
      <c r="B5" s="10" t="s">
        <v>13</v>
      </c>
      <c r="C5" s="11" t="s">
        <v>20</v>
      </c>
      <c r="D5" s="7" t="s">
        <v>15</v>
      </c>
      <c r="E5" s="12" t="s">
        <v>16</v>
      </c>
      <c r="F5" s="10"/>
      <c r="G5" s="10" t="s">
        <v>21</v>
      </c>
      <c r="H5" s="10" t="s">
        <v>22</v>
      </c>
      <c r="I5" s="10" t="s">
        <v>23</v>
      </c>
      <c r="J5" s="9" t="s">
        <v>18</v>
      </c>
    </row>
    <row r="6" customFormat="false" ht="30" hidden="false" customHeight="true" outlineLevel="0" collapsed="false">
      <c r="A6" s="4" t="s">
        <v>12</v>
      </c>
      <c r="B6" s="5" t="s">
        <v>13</v>
      </c>
      <c r="C6" s="6" t="s">
        <v>24</v>
      </c>
      <c r="D6" s="7" t="s">
        <v>15</v>
      </c>
      <c r="E6" s="8" t="s">
        <v>25</v>
      </c>
      <c r="F6" s="5"/>
      <c r="G6" s="5"/>
      <c r="H6" s="5" t="s">
        <v>26</v>
      </c>
      <c r="I6" s="5" t="s">
        <v>27</v>
      </c>
      <c r="J6" s="9" t="s">
        <v>18</v>
      </c>
    </row>
    <row r="7" customFormat="false" ht="30" hidden="false" customHeight="true" outlineLevel="0" collapsed="false">
      <c r="A7" s="4" t="s">
        <v>12</v>
      </c>
      <c r="B7" s="10" t="s">
        <v>28</v>
      </c>
      <c r="C7" s="11" t="s">
        <v>29</v>
      </c>
      <c r="D7" s="7" t="s">
        <v>15</v>
      </c>
      <c r="E7" s="12" t="s">
        <v>16</v>
      </c>
      <c r="F7" s="10"/>
      <c r="G7" s="10" t="s">
        <v>30</v>
      </c>
      <c r="H7" s="10" t="s">
        <v>18</v>
      </c>
      <c r="I7" s="10" t="s">
        <v>31</v>
      </c>
      <c r="J7" s="9" t="s">
        <v>18</v>
      </c>
    </row>
    <row r="8" customFormat="false" ht="30" hidden="false" customHeight="true" outlineLevel="0" collapsed="false">
      <c r="A8" s="4" t="s">
        <v>12</v>
      </c>
      <c r="B8" s="5" t="s">
        <v>28</v>
      </c>
      <c r="C8" s="6" t="s">
        <v>32</v>
      </c>
      <c r="D8" s="7" t="s">
        <v>15</v>
      </c>
      <c r="E8" s="8" t="s">
        <v>25</v>
      </c>
      <c r="F8" s="5"/>
      <c r="G8" s="5" t="s">
        <v>33</v>
      </c>
      <c r="H8" s="5" t="s">
        <v>18</v>
      </c>
      <c r="I8" s="5" t="s">
        <v>34</v>
      </c>
      <c r="J8" s="9" t="s">
        <v>18</v>
      </c>
    </row>
    <row r="9" customFormat="false" ht="30" hidden="false" customHeight="true" outlineLevel="0" collapsed="false">
      <c r="A9" s="4" t="s">
        <v>12</v>
      </c>
      <c r="B9" s="10" t="s">
        <v>28</v>
      </c>
      <c r="C9" s="11" t="s">
        <v>35</v>
      </c>
      <c r="D9" s="7" t="s">
        <v>15</v>
      </c>
      <c r="E9" s="12" t="s">
        <v>25</v>
      </c>
      <c r="F9" s="10"/>
      <c r="G9" s="10"/>
      <c r="H9" s="10" t="s">
        <v>31</v>
      </c>
      <c r="I9" s="10" t="s">
        <v>36</v>
      </c>
      <c r="J9" s="9" t="s">
        <v>18</v>
      </c>
    </row>
    <row r="10" customFormat="false" ht="30" hidden="false" customHeight="true" outlineLevel="0" collapsed="false">
      <c r="A10" s="4" t="s">
        <v>12</v>
      </c>
      <c r="B10" s="5" t="s">
        <v>37</v>
      </c>
      <c r="C10" s="6" t="s">
        <v>38</v>
      </c>
      <c r="D10" s="7" t="s">
        <v>15</v>
      </c>
      <c r="E10" s="8" t="s">
        <v>16</v>
      </c>
      <c r="F10" s="5"/>
      <c r="G10" s="5" t="s">
        <v>17</v>
      </c>
      <c r="H10" s="5" t="s">
        <v>18</v>
      </c>
      <c r="I10" s="5" t="s">
        <v>39</v>
      </c>
      <c r="J10" s="9" t="s">
        <v>18</v>
      </c>
    </row>
    <row r="11" customFormat="false" ht="30" hidden="false" customHeight="true" outlineLevel="0" collapsed="false">
      <c r="A11" s="4" t="s">
        <v>12</v>
      </c>
      <c r="B11" s="10" t="s">
        <v>37</v>
      </c>
      <c r="C11" s="11" t="s">
        <v>40</v>
      </c>
      <c r="D11" s="7" t="s">
        <v>15</v>
      </c>
      <c r="E11" s="12" t="s">
        <v>25</v>
      </c>
      <c r="F11" s="10"/>
      <c r="G11" s="10"/>
      <c r="H11" s="10" t="s">
        <v>39</v>
      </c>
      <c r="I11" s="10" t="s">
        <v>41</v>
      </c>
      <c r="J11" s="9" t="s">
        <v>18</v>
      </c>
    </row>
    <row r="12" customFormat="false" ht="30" hidden="false" customHeight="true" outlineLevel="0" collapsed="false">
      <c r="A12" s="4" t="s">
        <v>12</v>
      </c>
      <c r="B12" s="5" t="s">
        <v>37</v>
      </c>
      <c r="C12" s="6" t="s">
        <v>42</v>
      </c>
      <c r="D12" s="7" t="s">
        <v>15</v>
      </c>
      <c r="E12" s="8" t="s">
        <v>25</v>
      </c>
      <c r="F12" s="5"/>
      <c r="G12" s="5" t="s">
        <v>43</v>
      </c>
      <c r="H12" s="5" t="s">
        <v>18</v>
      </c>
      <c r="I12" s="5" t="s">
        <v>44</v>
      </c>
      <c r="J12" s="9" t="s">
        <v>18</v>
      </c>
    </row>
    <row r="13" customFormat="false" ht="30" hidden="false" customHeight="true" outlineLevel="0" collapsed="false">
      <c r="A13" s="4" t="s">
        <v>12</v>
      </c>
      <c r="B13" s="10" t="s">
        <v>37</v>
      </c>
      <c r="C13" s="11" t="s">
        <v>45</v>
      </c>
      <c r="D13" s="7" t="s">
        <v>15</v>
      </c>
      <c r="E13" s="12" t="s">
        <v>46</v>
      </c>
      <c r="F13" s="10"/>
      <c r="G13" s="10"/>
      <c r="H13" s="10" t="s">
        <v>47</v>
      </c>
      <c r="I13" s="10" t="s">
        <v>48</v>
      </c>
      <c r="J13" s="9" t="s">
        <v>18</v>
      </c>
    </row>
    <row r="14" customFormat="false" ht="30" hidden="false" customHeight="true" outlineLevel="0" collapsed="false">
      <c r="A14" s="4" t="s">
        <v>12</v>
      </c>
      <c r="B14" s="5" t="s">
        <v>49</v>
      </c>
      <c r="C14" s="6" t="s">
        <v>50</v>
      </c>
      <c r="D14" s="7" t="s">
        <v>15</v>
      </c>
      <c r="E14" s="8" t="s">
        <v>25</v>
      </c>
      <c r="F14" s="5"/>
      <c r="G14" s="5" t="s">
        <v>51</v>
      </c>
      <c r="H14" s="5" t="s">
        <v>18</v>
      </c>
      <c r="I14" s="5" t="s">
        <v>52</v>
      </c>
      <c r="J14" s="9" t="s">
        <v>18</v>
      </c>
    </row>
    <row r="15" customFormat="false" ht="30" hidden="false" customHeight="true" outlineLevel="0" collapsed="false">
      <c r="A15" s="4" t="s">
        <v>12</v>
      </c>
      <c r="B15" s="10" t="s">
        <v>49</v>
      </c>
      <c r="C15" s="11" t="s">
        <v>53</v>
      </c>
      <c r="D15" s="7" t="s">
        <v>15</v>
      </c>
      <c r="E15" s="12" t="s">
        <v>46</v>
      </c>
      <c r="F15" s="10"/>
      <c r="G15" s="10" t="s">
        <v>54</v>
      </c>
      <c r="H15" s="10" t="s">
        <v>18</v>
      </c>
      <c r="I15" s="10" t="s">
        <v>55</v>
      </c>
      <c r="J15" s="9" t="s">
        <v>18</v>
      </c>
    </row>
    <row r="16" customFormat="false" ht="30" hidden="false" customHeight="true" outlineLevel="0" collapsed="false">
      <c r="A16" s="4" t="s">
        <v>12</v>
      </c>
      <c r="B16" s="5" t="s">
        <v>49</v>
      </c>
      <c r="C16" s="6" t="s">
        <v>56</v>
      </c>
      <c r="D16" s="7" t="s">
        <v>15</v>
      </c>
      <c r="E16" s="8" t="s">
        <v>25</v>
      </c>
      <c r="F16" s="5"/>
      <c r="G16" s="5" t="s">
        <v>57</v>
      </c>
      <c r="H16" s="5" t="s">
        <v>18</v>
      </c>
      <c r="I16" s="5" t="s">
        <v>58</v>
      </c>
      <c r="J16" s="9" t="s">
        <v>18</v>
      </c>
    </row>
    <row r="17" customFormat="false" ht="30" hidden="false" customHeight="true" outlineLevel="0" collapsed="false">
      <c r="A17" s="4" t="s">
        <v>12</v>
      </c>
      <c r="B17" s="10" t="s">
        <v>59</v>
      </c>
      <c r="C17" s="11" t="s">
        <v>60</v>
      </c>
      <c r="D17" s="7" t="s">
        <v>15</v>
      </c>
      <c r="E17" s="12" t="s">
        <v>16</v>
      </c>
      <c r="F17" s="10"/>
      <c r="G17" s="10" t="s">
        <v>61</v>
      </c>
      <c r="H17" s="10" t="s">
        <v>18</v>
      </c>
      <c r="I17" s="10" t="s">
        <v>62</v>
      </c>
      <c r="J17" s="9" t="s">
        <v>18</v>
      </c>
    </row>
    <row r="18" customFormat="false" ht="30" hidden="false" customHeight="true" outlineLevel="0" collapsed="false">
      <c r="A18" s="4" t="s">
        <v>12</v>
      </c>
      <c r="B18" s="5" t="s">
        <v>59</v>
      </c>
      <c r="C18" s="6" t="s">
        <v>63</v>
      </c>
      <c r="D18" s="7" t="s">
        <v>15</v>
      </c>
      <c r="E18" s="8" t="s">
        <v>16</v>
      </c>
      <c r="F18" s="5"/>
      <c r="G18" s="5" t="s">
        <v>64</v>
      </c>
      <c r="H18" s="5" t="s">
        <v>65</v>
      </c>
      <c r="I18" s="5" t="s">
        <v>66</v>
      </c>
      <c r="J18" s="9" t="s">
        <v>18</v>
      </c>
    </row>
    <row r="19" customFormat="false" ht="30" hidden="false" customHeight="true" outlineLevel="0" collapsed="false">
      <c r="A19" s="4" t="s">
        <v>12</v>
      </c>
      <c r="B19" s="10" t="s">
        <v>67</v>
      </c>
      <c r="C19" s="11" t="s">
        <v>68</v>
      </c>
      <c r="D19" s="7" t="s">
        <v>15</v>
      </c>
      <c r="E19" s="12" t="s">
        <v>25</v>
      </c>
      <c r="F19" s="10"/>
      <c r="G19" s="10" t="s">
        <v>69</v>
      </c>
      <c r="H19" s="10" t="s">
        <v>18</v>
      </c>
      <c r="I19" s="10" t="s">
        <v>70</v>
      </c>
      <c r="J19" s="9" t="s">
        <v>18</v>
      </c>
    </row>
    <row r="20" customFormat="false" ht="30" hidden="false" customHeight="true" outlineLevel="0" collapsed="false">
      <c r="A20" s="13" t="s">
        <v>71</v>
      </c>
      <c r="B20" s="5" t="s">
        <v>72</v>
      </c>
      <c r="C20" s="6" t="s">
        <v>73</v>
      </c>
      <c r="D20" s="7" t="s">
        <v>15</v>
      </c>
      <c r="E20" s="8" t="s">
        <v>16</v>
      </c>
      <c r="F20" s="5"/>
      <c r="G20" s="5" t="s">
        <v>74</v>
      </c>
      <c r="H20" s="5" t="s">
        <v>18</v>
      </c>
      <c r="I20" s="5" t="s">
        <v>75</v>
      </c>
      <c r="J20" s="9" t="s">
        <v>18</v>
      </c>
    </row>
    <row r="21" customFormat="false" ht="30" hidden="false" customHeight="true" outlineLevel="0" collapsed="false">
      <c r="A21" s="13" t="s">
        <v>71</v>
      </c>
      <c r="B21" s="10" t="s">
        <v>72</v>
      </c>
      <c r="C21" s="11" t="s">
        <v>76</v>
      </c>
      <c r="D21" s="7" t="s">
        <v>15</v>
      </c>
      <c r="E21" s="12" t="s">
        <v>16</v>
      </c>
      <c r="F21" s="10"/>
      <c r="G21" s="10" t="s">
        <v>77</v>
      </c>
      <c r="H21" s="10" t="s">
        <v>18</v>
      </c>
      <c r="I21" s="10" t="s">
        <v>78</v>
      </c>
      <c r="J21" s="9" t="s">
        <v>18</v>
      </c>
    </row>
    <row r="22" customFormat="false" ht="30" hidden="false" customHeight="true" outlineLevel="0" collapsed="false">
      <c r="A22" s="13" t="s">
        <v>71</v>
      </c>
      <c r="B22" s="5" t="s">
        <v>72</v>
      </c>
      <c r="C22" s="6" t="s">
        <v>79</v>
      </c>
      <c r="D22" s="7" t="s">
        <v>15</v>
      </c>
      <c r="E22" s="8" t="s">
        <v>16</v>
      </c>
      <c r="F22" s="5"/>
      <c r="G22" s="5"/>
      <c r="H22" s="5" t="s">
        <v>80</v>
      </c>
      <c r="I22" s="5" t="s">
        <v>81</v>
      </c>
      <c r="J22" s="9" t="s">
        <v>18</v>
      </c>
    </row>
    <row r="23" customFormat="false" ht="30" hidden="false" customHeight="true" outlineLevel="0" collapsed="false">
      <c r="A23" s="13" t="s">
        <v>71</v>
      </c>
      <c r="B23" s="10" t="s">
        <v>82</v>
      </c>
      <c r="C23" s="11" t="s">
        <v>83</v>
      </c>
      <c r="D23" s="7" t="s">
        <v>15</v>
      </c>
      <c r="E23" s="12" t="s">
        <v>16</v>
      </c>
      <c r="F23" s="10"/>
      <c r="G23" s="10" t="s">
        <v>84</v>
      </c>
      <c r="H23" s="10" t="s">
        <v>18</v>
      </c>
      <c r="I23" s="10" t="s">
        <v>85</v>
      </c>
      <c r="J23" s="9" t="s">
        <v>18</v>
      </c>
    </row>
    <row r="24" customFormat="false" ht="30" hidden="false" customHeight="true" outlineLevel="0" collapsed="false">
      <c r="A24" s="13" t="s">
        <v>71</v>
      </c>
      <c r="B24" s="5" t="s">
        <v>82</v>
      </c>
      <c r="C24" s="6" t="s">
        <v>86</v>
      </c>
      <c r="D24" s="7" t="s">
        <v>15</v>
      </c>
      <c r="E24" s="8" t="s">
        <v>25</v>
      </c>
      <c r="F24" s="5"/>
      <c r="G24" s="5" t="s">
        <v>87</v>
      </c>
      <c r="H24" s="5" t="s">
        <v>88</v>
      </c>
      <c r="I24" s="5" t="s">
        <v>89</v>
      </c>
      <c r="J24" s="9" t="s">
        <v>18</v>
      </c>
    </row>
    <row r="25" customFormat="false" ht="30" hidden="false" customHeight="true" outlineLevel="0" collapsed="false">
      <c r="A25" s="13" t="s">
        <v>71</v>
      </c>
      <c r="B25" s="10" t="s">
        <v>82</v>
      </c>
      <c r="C25" s="11" t="s">
        <v>90</v>
      </c>
      <c r="D25" s="7" t="s">
        <v>15</v>
      </c>
      <c r="E25" s="12" t="s">
        <v>25</v>
      </c>
      <c r="F25" s="10"/>
      <c r="G25" s="10" t="s">
        <v>91</v>
      </c>
      <c r="H25" s="10" t="s">
        <v>88</v>
      </c>
      <c r="I25" s="10" t="s">
        <v>92</v>
      </c>
      <c r="J25" s="9" t="s">
        <v>18</v>
      </c>
    </row>
    <row r="26" customFormat="false" ht="30" hidden="false" customHeight="true" outlineLevel="0" collapsed="false">
      <c r="A26" s="13" t="s">
        <v>71</v>
      </c>
      <c r="B26" s="5" t="s">
        <v>93</v>
      </c>
      <c r="C26" s="6" t="s">
        <v>94</v>
      </c>
      <c r="D26" s="7" t="s">
        <v>15</v>
      </c>
      <c r="E26" s="8" t="s">
        <v>16</v>
      </c>
      <c r="F26" s="5"/>
      <c r="G26" s="5" t="s">
        <v>95</v>
      </c>
      <c r="H26" s="5" t="s">
        <v>18</v>
      </c>
      <c r="I26" s="5" t="s">
        <v>96</v>
      </c>
      <c r="J26" s="9" t="s">
        <v>18</v>
      </c>
    </row>
    <row r="27" customFormat="false" ht="30" hidden="false" customHeight="true" outlineLevel="0" collapsed="false">
      <c r="A27" s="13" t="s">
        <v>71</v>
      </c>
      <c r="B27" s="10" t="s">
        <v>93</v>
      </c>
      <c r="C27" s="11" t="s">
        <v>97</v>
      </c>
      <c r="D27" s="7" t="s">
        <v>15</v>
      </c>
      <c r="E27" s="12" t="s">
        <v>16</v>
      </c>
      <c r="F27" s="10"/>
      <c r="G27" s="10" t="s">
        <v>98</v>
      </c>
      <c r="H27" s="10" t="s">
        <v>18</v>
      </c>
      <c r="I27" s="10" t="s">
        <v>99</v>
      </c>
      <c r="J27" s="9" t="s">
        <v>18</v>
      </c>
    </row>
    <row r="28" customFormat="false" ht="30" hidden="false" customHeight="true" outlineLevel="0" collapsed="false">
      <c r="A28" s="13" t="s">
        <v>71</v>
      </c>
      <c r="B28" s="5" t="s">
        <v>93</v>
      </c>
      <c r="C28" s="6" t="s">
        <v>100</v>
      </c>
      <c r="D28" s="7" t="s">
        <v>15</v>
      </c>
      <c r="E28" s="8" t="s">
        <v>25</v>
      </c>
      <c r="F28" s="5"/>
      <c r="G28" s="5" t="s">
        <v>101</v>
      </c>
      <c r="H28" s="5" t="s">
        <v>99</v>
      </c>
      <c r="I28" s="5" t="s">
        <v>102</v>
      </c>
      <c r="J28" s="9" t="s">
        <v>18</v>
      </c>
    </row>
    <row r="29" customFormat="false" ht="30" hidden="false" customHeight="true" outlineLevel="0" collapsed="false">
      <c r="A29" s="13" t="s">
        <v>71</v>
      </c>
      <c r="B29" s="10" t="s">
        <v>103</v>
      </c>
      <c r="C29" s="11" t="s">
        <v>104</v>
      </c>
      <c r="D29" s="7" t="s">
        <v>15</v>
      </c>
      <c r="E29" s="12" t="s">
        <v>25</v>
      </c>
      <c r="F29" s="10"/>
      <c r="G29" s="10" t="s">
        <v>105</v>
      </c>
      <c r="H29" s="10" t="s">
        <v>18</v>
      </c>
      <c r="I29" s="10" t="s">
        <v>106</v>
      </c>
      <c r="J29" s="9" t="s">
        <v>18</v>
      </c>
    </row>
    <row r="30" customFormat="false" ht="30" hidden="false" customHeight="true" outlineLevel="0" collapsed="false">
      <c r="A30" s="13" t="s">
        <v>71</v>
      </c>
      <c r="B30" s="5" t="s">
        <v>103</v>
      </c>
      <c r="C30" s="6" t="s">
        <v>107</v>
      </c>
      <c r="D30" s="7" t="s">
        <v>15</v>
      </c>
      <c r="E30" s="8" t="s">
        <v>46</v>
      </c>
      <c r="F30" s="5"/>
      <c r="G30" s="5" t="s">
        <v>108</v>
      </c>
      <c r="H30" s="5" t="s">
        <v>18</v>
      </c>
      <c r="I30" s="5" t="s">
        <v>109</v>
      </c>
      <c r="J30" s="9" t="s">
        <v>18</v>
      </c>
    </row>
    <row r="31" customFormat="false" ht="30" hidden="false" customHeight="true" outlineLevel="0" collapsed="false">
      <c r="A31" s="13" t="s">
        <v>71</v>
      </c>
      <c r="B31" s="10" t="s">
        <v>110</v>
      </c>
      <c r="C31" s="11" t="s">
        <v>111</v>
      </c>
      <c r="D31" s="7" t="s">
        <v>15</v>
      </c>
      <c r="E31" s="12" t="s">
        <v>25</v>
      </c>
      <c r="F31" s="10"/>
      <c r="G31" s="10" t="s">
        <v>112</v>
      </c>
      <c r="H31" s="10" t="s">
        <v>18</v>
      </c>
      <c r="I31" s="10" t="s">
        <v>113</v>
      </c>
      <c r="J31" s="9" t="s">
        <v>18</v>
      </c>
    </row>
    <row r="32" customFormat="false" ht="30" hidden="false" customHeight="true" outlineLevel="0" collapsed="false">
      <c r="A32" s="13" t="s">
        <v>71</v>
      </c>
      <c r="B32" s="5" t="s">
        <v>110</v>
      </c>
      <c r="C32" s="6" t="s">
        <v>114</v>
      </c>
      <c r="D32" s="7" t="s">
        <v>15</v>
      </c>
      <c r="E32" s="8" t="s">
        <v>46</v>
      </c>
      <c r="F32" s="5"/>
      <c r="G32" s="5" t="s">
        <v>115</v>
      </c>
      <c r="H32" s="5" t="s">
        <v>18</v>
      </c>
      <c r="I32" s="5" t="s">
        <v>116</v>
      </c>
      <c r="J32" s="9" t="s">
        <v>18</v>
      </c>
    </row>
    <row r="33" customFormat="false" ht="30" hidden="false" customHeight="true" outlineLevel="0" collapsed="false">
      <c r="A33" s="14" t="s">
        <v>117</v>
      </c>
      <c r="B33" s="10" t="s">
        <v>118</v>
      </c>
      <c r="C33" s="11" t="s">
        <v>119</v>
      </c>
      <c r="D33" s="7" t="s">
        <v>15</v>
      </c>
      <c r="E33" s="12" t="s">
        <v>16</v>
      </c>
      <c r="F33" s="10"/>
      <c r="G33" s="10" t="s">
        <v>120</v>
      </c>
      <c r="H33" s="10" t="s">
        <v>18</v>
      </c>
      <c r="I33" s="10" t="s">
        <v>121</v>
      </c>
      <c r="J33" s="9" t="s">
        <v>18</v>
      </c>
    </row>
    <row r="34" customFormat="false" ht="30" hidden="false" customHeight="true" outlineLevel="0" collapsed="false">
      <c r="A34" s="14" t="s">
        <v>117</v>
      </c>
      <c r="B34" s="5" t="s">
        <v>118</v>
      </c>
      <c r="C34" s="6" t="s">
        <v>122</v>
      </c>
      <c r="D34" s="7" t="s">
        <v>15</v>
      </c>
      <c r="E34" s="8" t="s">
        <v>16</v>
      </c>
      <c r="F34" s="5"/>
      <c r="G34" s="5" t="s">
        <v>123</v>
      </c>
      <c r="H34" s="5" t="s">
        <v>124</v>
      </c>
      <c r="I34" s="5" t="s">
        <v>125</v>
      </c>
      <c r="J34" s="9" t="s">
        <v>18</v>
      </c>
    </row>
    <row r="35" customFormat="false" ht="30" hidden="false" customHeight="true" outlineLevel="0" collapsed="false">
      <c r="A35" s="14" t="s">
        <v>117</v>
      </c>
      <c r="B35" s="10" t="s">
        <v>118</v>
      </c>
      <c r="C35" s="11" t="s">
        <v>126</v>
      </c>
      <c r="D35" s="7" t="s">
        <v>15</v>
      </c>
      <c r="E35" s="12" t="s">
        <v>25</v>
      </c>
      <c r="F35" s="10"/>
      <c r="G35" s="10" t="s">
        <v>127</v>
      </c>
      <c r="H35" s="10" t="s">
        <v>128</v>
      </c>
      <c r="I35" s="10" t="s">
        <v>129</v>
      </c>
      <c r="J35" s="9" t="s">
        <v>18</v>
      </c>
    </row>
    <row r="36" customFormat="false" ht="30" hidden="false" customHeight="true" outlineLevel="0" collapsed="false">
      <c r="A36" s="14" t="s">
        <v>117</v>
      </c>
      <c r="B36" s="5" t="s">
        <v>130</v>
      </c>
      <c r="C36" s="6" t="s">
        <v>131</v>
      </c>
      <c r="D36" s="7" t="s">
        <v>15</v>
      </c>
      <c r="E36" s="8" t="s">
        <v>16</v>
      </c>
      <c r="F36" s="5"/>
      <c r="G36" s="5" t="s">
        <v>132</v>
      </c>
      <c r="H36" s="5" t="s">
        <v>133</v>
      </c>
      <c r="I36" s="5" t="s">
        <v>134</v>
      </c>
      <c r="J36" s="9" t="s">
        <v>18</v>
      </c>
    </row>
    <row r="37" customFormat="false" ht="30" hidden="false" customHeight="true" outlineLevel="0" collapsed="false">
      <c r="A37" s="14" t="s">
        <v>117</v>
      </c>
      <c r="B37" s="10" t="s">
        <v>130</v>
      </c>
      <c r="C37" s="11" t="s">
        <v>135</v>
      </c>
      <c r="D37" s="7" t="s">
        <v>15</v>
      </c>
      <c r="E37" s="12" t="s">
        <v>16</v>
      </c>
      <c r="F37" s="10"/>
      <c r="G37" s="10"/>
      <c r="H37" s="10" t="s">
        <v>134</v>
      </c>
      <c r="I37" s="10" t="s">
        <v>136</v>
      </c>
      <c r="J37" s="9" t="s">
        <v>18</v>
      </c>
    </row>
    <row r="38" customFormat="false" ht="30" hidden="false" customHeight="true" outlineLevel="0" collapsed="false">
      <c r="A38" s="14" t="s">
        <v>117</v>
      </c>
      <c r="B38" s="5" t="s">
        <v>130</v>
      </c>
      <c r="C38" s="6" t="s">
        <v>137</v>
      </c>
      <c r="D38" s="7" t="s">
        <v>15</v>
      </c>
      <c r="E38" s="8" t="s">
        <v>25</v>
      </c>
      <c r="F38" s="5"/>
      <c r="G38" s="5"/>
      <c r="H38" s="5" t="s">
        <v>138</v>
      </c>
      <c r="I38" s="5" t="s">
        <v>139</v>
      </c>
      <c r="J38" s="9" t="s">
        <v>18</v>
      </c>
    </row>
    <row r="39" customFormat="false" ht="30" hidden="false" customHeight="true" outlineLevel="0" collapsed="false">
      <c r="A39" s="14" t="s">
        <v>117</v>
      </c>
      <c r="B39" s="10" t="s">
        <v>130</v>
      </c>
      <c r="C39" s="11" t="s">
        <v>140</v>
      </c>
      <c r="D39" s="7" t="s">
        <v>15</v>
      </c>
      <c r="E39" s="12" t="s">
        <v>25</v>
      </c>
      <c r="F39" s="10"/>
      <c r="G39" s="10"/>
      <c r="H39" s="10" t="s">
        <v>141</v>
      </c>
      <c r="I39" s="10" t="s">
        <v>142</v>
      </c>
      <c r="J39" s="9" t="s">
        <v>18</v>
      </c>
    </row>
    <row r="40" customFormat="false" ht="30" hidden="false" customHeight="true" outlineLevel="0" collapsed="false">
      <c r="A40" s="14" t="s">
        <v>117</v>
      </c>
      <c r="B40" s="5" t="s">
        <v>143</v>
      </c>
      <c r="C40" s="6" t="s">
        <v>144</v>
      </c>
      <c r="D40" s="7" t="s">
        <v>15</v>
      </c>
      <c r="E40" s="8" t="s">
        <v>16</v>
      </c>
      <c r="F40" s="5"/>
      <c r="G40" s="5" t="s">
        <v>145</v>
      </c>
      <c r="H40" s="5" t="s">
        <v>18</v>
      </c>
      <c r="I40" s="5" t="s">
        <v>146</v>
      </c>
      <c r="J40" s="9" t="s">
        <v>18</v>
      </c>
    </row>
    <row r="41" customFormat="false" ht="30" hidden="false" customHeight="true" outlineLevel="0" collapsed="false">
      <c r="A41" s="14" t="s">
        <v>117</v>
      </c>
      <c r="B41" s="10" t="s">
        <v>143</v>
      </c>
      <c r="C41" s="11" t="s">
        <v>147</v>
      </c>
      <c r="D41" s="7" t="s">
        <v>15</v>
      </c>
      <c r="E41" s="12" t="s">
        <v>16</v>
      </c>
      <c r="F41" s="10"/>
      <c r="G41" s="10" t="s">
        <v>148</v>
      </c>
      <c r="H41" s="10" t="s">
        <v>149</v>
      </c>
      <c r="I41" s="10" t="s">
        <v>150</v>
      </c>
      <c r="J41" s="9" t="s">
        <v>18</v>
      </c>
    </row>
    <row r="42" customFormat="false" ht="30" hidden="false" customHeight="true" outlineLevel="0" collapsed="false">
      <c r="A42" s="14" t="s">
        <v>117</v>
      </c>
      <c r="B42" s="5" t="s">
        <v>151</v>
      </c>
      <c r="C42" s="6" t="s">
        <v>152</v>
      </c>
      <c r="D42" s="7" t="s">
        <v>15</v>
      </c>
      <c r="E42" s="8" t="s">
        <v>16</v>
      </c>
      <c r="F42" s="5"/>
      <c r="G42" s="5" t="s">
        <v>153</v>
      </c>
      <c r="H42" s="5" t="s">
        <v>18</v>
      </c>
      <c r="I42" s="5" t="s">
        <v>154</v>
      </c>
      <c r="J42" s="9" t="s">
        <v>18</v>
      </c>
    </row>
    <row r="43" customFormat="false" ht="30" hidden="false" customHeight="true" outlineLevel="0" collapsed="false">
      <c r="A43" s="14" t="s">
        <v>117</v>
      </c>
      <c r="B43" s="10" t="s">
        <v>151</v>
      </c>
      <c r="C43" s="11" t="s">
        <v>155</v>
      </c>
      <c r="D43" s="7" t="s">
        <v>15</v>
      </c>
      <c r="E43" s="12" t="s">
        <v>16</v>
      </c>
      <c r="F43" s="10"/>
      <c r="G43" s="10" t="s">
        <v>156</v>
      </c>
      <c r="H43" s="10" t="s">
        <v>157</v>
      </c>
      <c r="I43" s="10" t="s">
        <v>158</v>
      </c>
      <c r="J43" s="9" t="s">
        <v>18</v>
      </c>
    </row>
    <row r="44" customFormat="false" ht="30" hidden="false" customHeight="true" outlineLevel="0" collapsed="false">
      <c r="A44" s="14" t="s">
        <v>117</v>
      </c>
      <c r="B44" s="5" t="s">
        <v>151</v>
      </c>
      <c r="C44" s="6" t="s">
        <v>159</v>
      </c>
      <c r="D44" s="7" t="s">
        <v>15</v>
      </c>
      <c r="E44" s="8" t="s">
        <v>25</v>
      </c>
      <c r="F44" s="5"/>
      <c r="G44" s="5" t="s">
        <v>160</v>
      </c>
      <c r="H44" s="5" t="s">
        <v>18</v>
      </c>
      <c r="I44" s="5" t="s">
        <v>161</v>
      </c>
      <c r="J44" s="9" t="s">
        <v>18</v>
      </c>
    </row>
    <row r="45" customFormat="false" ht="30" hidden="false" customHeight="true" outlineLevel="0" collapsed="false">
      <c r="A45" s="14" t="s">
        <v>117</v>
      </c>
      <c r="B45" s="10" t="s">
        <v>162</v>
      </c>
      <c r="C45" s="11" t="s">
        <v>163</v>
      </c>
      <c r="D45" s="7" t="s">
        <v>15</v>
      </c>
      <c r="E45" s="12" t="s">
        <v>25</v>
      </c>
      <c r="F45" s="10"/>
      <c r="G45" s="10" t="s">
        <v>164</v>
      </c>
      <c r="H45" s="10" t="s">
        <v>18</v>
      </c>
      <c r="I45" s="10" t="s">
        <v>165</v>
      </c>
      <c r="J45" s="9" t="s">
        <v>18</v>
      </c>
    </row>
    <row r="46" customFormat="false" ht="30" hidden="false" customHeight="true" outlineLevel="0" collapsed="false">
      <c r="A46" s="14" t="s">
        <v>117</v>
      </c>
      <c r="B46" s="5" t="s">
        <v>166</v>
      </c>
      <c r="C46" s="6" t="s">
        <v>167</v>
      </c>
      <c r="D46" s="7" t="s">
        <v>15</v>
      </c>
      <c r="E46" s="8" t="s">
        <v>46</v>
      </c>
      <c r="F46" s="5"/>
      <c r="G46" s="5" t="s">
        <v>168</v>
      </c>
      <c r="H46" s="5" t="s">
        <v>169</v>
      </c>
      <c r="I46" s="5" t="s">
        <v>170</v>
      </c>
      <c r="J46" s="9" t="s">
        <v>18</v>
      </c>
    </row>
    <row r="47" customFormat="false" ht="30" hidden="false" customHeight="true" outlineLevel="0" collapsed="false">
      <c r="A47" s="15" t="s">
        <v>171</v>
      </c>
      <c r="B47" s="10" t="s">
        <v>172</v>
      </c>
      <c r="C47" s="11" t="s">
        <v>173</v>
      </c>
      <c r="D47" s="7" t="s">
        <v>15</v>
      </c>
      <c r="E47" s="12" t="s">
        <v>25</v>
      </c>
      <c r="F47" s="10"/>
      <c r="G47" s="10"/>
      <c r="H47" s="10" t="s">
        <v>174</v>
      </c>
      <c r="I47" s="10" t="s">
        <v>175</v>
      </c>
      <c r="J47" s="9" t="s">
        <v>18</v>
      </c>
    </row>
    <row r="48" customFormat="false" ht="30" hidden="false" customHeight="true" outlineLevel="0" collapsed="false">
      <c r="A48" s="15" t="s">
        <v>171</v>
      </c>
      <c r="B48" s="5" t="s">
        <v>172</v>
      </c>
      <c r="C48" s="6" t="s">
        <v>176</v>
      </c>
      <c r="D48" s="7" t="s">
        <v>15</v>
      </c>
      <c r="E48" s="8" t="s">
        <v>25</v>
      </c>
      <c r="F48" s="5"/>
      <c r="G48" s="5"/>
      <c r="H48" s="5" t="s">
        <v>177</v>
      </c>
      <c r="I48" s="5" t="s">
        <v>178</v>
      </c>
      <c r="J48" s="9" t="s">
        <v>18</v>
      </c>
    </row>
    <row r="49" customFormat="false" ht="30" hidden="false" customHeight="true" outlineLevel="0" collapsed="false">
      <c r="A49" s="15" t="s">
        <v>171</v>
      </c>
      <c r="B49" s="10" t="s">
        <v>172</v>
      </c>
      <c r="C49" s="11" t="s">
        <v>179</v>
      </c>
      <c r="D49" s="7" t="s">
        <v>15</v>
      </c>
      <c r="E49" s="12" t="s">
        <v>25</v>
      </c>
      <c r="F49" s="10"/>
      <c r="G49" s="10"/>
      <c r="H49" s="10" t="s">
        <v>180</v>
      </c>
      <c r="I49" s="10" t="s">
        <v>181</v>
      </c>
      <c r="J49" s="9" t="s">
        <v>18</v>
      </c>
    </row>
    <row r="50" customFormat="false" ht="30" hidden="false" customHeight="true" outlineLevel="0" collapsed="false">
      <c r="A50" s="15" t="s">
        <v>171</v>
      </c>
      <c r="B50" s="5" t="s">
        <v>172</v>
      </c>
      <c r="C50" s="6" t="s">
        <v>182</v>
      </c>
      <c r="D50" s="7" t="s">
        <v>15</v>
      </c>
      <c r="E50" s="8" t="s">
        <v>46</v>
      </c>
      <c r="F50" s="5"/>
      <c r="G50" s="5"/>
      <c r="H50" s="5" t="s">
        <v>183</v>
      </c>
      <c r="I50" s="5" t="s">
        <v>184</v>
      </c>
      <c r="J50" s="9" t="s">
        <v>18</v>
      </c>
    </row>
    <row r="51" customFormat="false" ht="30" hidden="false" customHeight="true" outlineLevel="0" collapsed="false">
      <c r="A51" s="15" t="s">
        <v>171</v>
      </c>
      <c r="B51" s="10" t="s">
        <v>172</v>
      </c>
      <c r="C51" s="11" t="s">
        <v>185</v>
      </c>
      <c r="D51" s="7" t="s">
        <v>15</v>
      </c>
      <c r="E51" s="12" t="s">
        <v>46</v>
      </c>
      <c r="F51" s="10"/>
      <c r="G51" s="10"/>
      <c r="H51" s="10" t="s">
        <v>186</v>
      </c>
      <c r="I51" s="10" t="s">
        <v>187</v>
      </c>
      <c r="J51" s="9" t="s">
        <v>18</v>
      </c>
    </row>
    <row r="52" customFormat="false" ht="30" hidden="false" customHeight="true" outlineLevel="0" collapsed="false">
      <c r="A52" s="15" t="s">
        <v>171</v>
      </c>
      <c r="B52" s="5" t="s">
        <v>188</v>
      </c>
      <c r="C52" s="6" t="s">
        <v>189</v>
      </c>
      <c r="D52" s="7" t="s">
        <v>15</v>
      </c>
      <c r="E52" s="8" t="s">
        <v>46</v>
      </c>
      <c r="F52" s="5"/>
      <c r="G52" s="5"/>
      <c r="H52" s="5" t="s">
        <v>190</v>
      </c>
      <c r="I52" s="5" t="s">
        <v>191</v>
      </c>
      <c r="J52" s="9" t="s">
        <v>18</v>
      </c>
    </row>
    <row r="53" customFormat="false" ht="30" hidden="false" customHeight="true" outlineLevel="0" collapsed="false">
      <c r="A53" s="15" t="s">
        <v>171</v>
      </c>
      <c r="B53" s="10" t="s">
        <v>188</v>
      </c>
      <c r="C53" s="11" t="s">
        <v>192</v>
      </c>
      <c r="D53" s="7" t="s">
        <v>15</v>
      </c>
      <c r="E53" s="12" t="s">
        <v>46</v>
      </c>
      <c r="F53" s="10"/>
      <c r="G53" s="10"/>
      <c r="H53" s="10" t="s">
        <v>190</v>
      </c>
      <c r="I53" s="10" t="s">
        <v>193</v>
      </c>
      <c r="J53" s="9" t="s">
        <v>18</v>
      </c>
    </row>
  </sheetData>
  <autoFilter ref="A3:J5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194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195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16" t="s">
        <v>196</v>
      </c>
    </row>
    <row r="5" customFormat="false" ht="15" hidden="false" customHeight="false" outlineLevel="0" collapsed="false">
      <c r="A5" s="3" t="s">
        <v>2</v>
      </c>
      <c r="B5" s="3" t="s">
        <v>197</v>
      </c>
      <c r="C5" s="3" t="s">
        <v>198</v>
      </c>
      <c r="D5" s="3" t="s">
        <v>199</v>
      </c>
      <c r="E5" s="3" t="s">
        <v>200</v>
      </c>
      <c r="F5" s="3" t="s">
        <v>15</v>
      </c>
      <c r="G5" s="3" t="s">
        <v>201</v>
      </c>
    </row>
    <row r="6" customFormat="false" ht="21.75" hidden="false" customHeight="true" outlineLevel="0" collapsed="false">
      <c r="A6" s="17" t="s">
        <v>202</v>
      </c>
      <c r="B6" s="18" t="n">
        <f aca="false">COUNTIF('Task Tracker'!A:A,"B1 · Econ Dev")</f>
        <v>16</v>
      </c>
      <c r="C6" s="18" t="n">
        <f aca="false">COUNTIFS('Task Tracker'!A:A,"B1 · Econ Dev",'Task Tracker'!D:D,"Done")</f>
        <v>0</v>
      </c>
      <c r="D6" s="18" t="n">
        <f aca="false">COUNTIFS('Task Tracker'!A:A,"B1 · Econ Dev",'Task Tracker'!D:D,"In Progress")</f>
        <v>0</v>
      </c>
      <c r="E6" s="18" t="n">
        <f aca="false">COUNTIFS('Task Tracker'!A:A,"B1 · Econ Dev",'Task Tracker'!D:D,"Blocked")</f>
        <v>0</v>
      </c>
      <c r="F6" s="18" t="n">
        <f aca="false">COUNTIFS('Task Tracker'!A:A,"B1 · Econ Dev",'Task Tracker'!D:D,"To Do")</f>
        <v>16</v>
      </c>
      <c r="G6" s="19" t="n">
        <f aca="false">IF(B6&gt;0,C6/B6,0)</f>
        <v>0</v>
      </c>
    </row>
    <row r="7" customFormat="false" ht="21.75" hidden="false" customHeight="true" outlineLevel="0" collapsed="false">
      <c r="A7" s="20" t="s">
        <v>203</v>
      </c>
      <c r="B7" s="18" t="n">
        <f aca="false">COUNTIF('Task Tracker'!A:A,"B2 · Legislative")</f>
        <v>13</v>
      </c>
      <c r="C7" s="18" t="n">
        <f aca="false">COUNTIFS('Task Tracker'!A:A,"B2 · Legislative",'Task Tracker'!D:D,"Done")</f>
        <v>0</v>
      </c>
      <c r="D7" s="18" t="n">
        <f aca="false">COUNTIFS('Task Tracker'!A:A,"B2 · Legislative",'Task Tracker'!D:D,"In Progress")</f>
        <v>0</v>
      </c>
      <c r="E7" s="18" t="n">
        <f aca="false">COUNTIFS('Task Tracker'!A:A,"B2 · Legislative",'Task Tracker'!D:D,"Blocked")</f>
        <v>0</v>
      </c>
      <c r="F7" s="18" t="n">
        <f aca="false">COUNTIFS('Task Tracker'!A:A,"B2 · Legislative",'Task Tracker'!D:D,"To Do")</f>
        <v>13</v>
      </c>
      <c r="G7" s="19" t="n">
        <f aca="false">IF(B7&gt;0,C7/B7,0)</f>
        <v>0</v>
      </c>
    </row>
    <row r="8" customFormat="false" ht="21.75" hidden="false" customHeight="true" outlineLevel="0" collapsed="false">
      <c r="A8" s="21" t="s">
        <v>204</v>
      </c>
      <c r="B8" s="18" t="n">
        <f aca="false">COUNTIF('Task Tracker'!A:A,"B3 · OPEB Pivot")</f>
        <v>14</v>
      </c>
      <c r="C8" s="18" t="n">
        <f aca="false">COUNTIFS('Task Tracker'!A:A,"B3 · OPEB Pivot",'Task Tracker'!D:D,"Done")</f>
        <v>0</v>
      </c>
      <c r="D8" s="18" t="n">
        <f aca="false">COUNTIFS('Task Tracker'!A:A,"B3 · OPEB Pivot",'Task Tracker'!D:D,"In Progress")</f>
        <v>0</v>
      </c>
      <c r="E8" s="18" t="n">
        <f aca="false">COUNTIFS('Task Tracker'!A:A,"B3 · OPEB Pivot",'Task Tracker'!D:D,"Blocked")</f>
        <v>0</v>
      </c>
      <c r="F8" s="18" t="n">
        <f aca="false">COUNTIFS('Task Tracker'!A:A,"B3 · OPEB Pivot",'Task Tracker'!D:D,"To Do")</f>
        <v>14</v>
      </c>
      <c r="G8" s="19" t="n">
        <f aca="false">IF(B8&gt;0,C8/B8,0)</f>
        <v>0</v>
      </c>
    </row>
    <row r="9" customFormat="false" ht="21.75" hidden="false" customHeight="true" outlineLevel="0" collapsed="false">
      <c r="A9" s="22" t="s">
        <v>205</v>
      </c>
      <c r="B9" s="18" t="n">
        <f aca="false">COUNTIF('Task Tracker'!A:A,"Synthesis")</f>
        <v>7</v>
      </c>
      <c r="C9" s="18" t="n">
        <f aca="false">COUNTIFS('Task Tracker'!A:A,"Synthesis",'Task Tracker'!D:D,"Done")</f>
        <v>0</v>
      </c>
      <c r="D9" s="18" t="n">
        <f aca="false">COUNTIFS('Task Tracker'!A:A,"Synthesis",'Task Tracker'!D:D,"In Progress")</f>
        <v>0</v>
      </c>
      <c r="E9" s="18" t="n">
        <f aca="false">COUNTIFS('Task Tracker'!A:A,"Synthesis",'Task Tracker'!D:D,"Blocked")</f>
        <v>0</v>
      </c>
      <c r="F9" s="18" t="n">
        <f aca="false">COUNTIFS('Task Tracker'!A:A,"Synthesis",'Task Tracker'!D:D,"To Do")</f>
        <v>7</v>
      </c>
      <c r="G9" s="19" t="n">
        <f aca="false">IF(B9&gt;0,C9/B9,0)</f>
        <v>0</v>
      </c>
    </row>
    <row r="10" customFormat="false" ht="21.75" hidden="false" customHeight="true" outlineLevel="0" collapsed="false">
      <c r="A10" s="3" t="s">
        <v>206</v>
      </c>
      <c r="B10" s="23" t="n">
        <f aca="false">SUM(B6:B9)</f>
        <v>50</v>
      </c>
      <c r="C10" s="23" t="n">
        <f aca="false">SUM(C6:C9)</f>
        <v>0</v>
      </c>
      <c r="D10" s="23" t="n">
        <f aca="false">SUM(D6:D9)</f>
        <v>0</v>
      </c>
      <c r="E10" s="23" t="n">
        <f aca="false">SUM(E6:E9)</f>
        <v>0</v>
      </c>
      <c r="F10" s="23" t="n">
        <f aca="false">SUM(F6:F9)</f>
        <v>50</v>
      </c>
      <c r="G10" s="24" t="n">
        <f aca="false">IF(B10&gt;0,C10/B10,0)</f>
        <v>0</v>
      </c>
    </row>
    <row r="12" customFormat="false" ht="19.5" hidden="false" customHeight="true" outlineLevel="0" collapsed="false">
      <c r="A12" s="16" t="s">
        <v>207</v>
      </c>
    </row>
    <row r="13" customFormat="false" ht="15" hidden="false" customHeight="false" outlineLevel="0" collapsed="false">
      <c r="A13" s="3" t="s">
        <v>6</v>
      </c>
      <c r="B13" s="3" t="s">
        <v>208</v>
      </c>
      <c r="C13" s="3" t="s">
        <v>198</v>
      </c>
      <c r="D13" s="3" t="s">
        <v>209</v>
      </c>
    </row>
    <row r="14" customFormat="false" ht="19.5" hidden="false" customHeight="true" outlineLevel="0" collapsed="false">
      <c r="A14" s="25" t="s">
        <v>16</v>
      </c>
      <c r="B14" s="26" t="n">
        <f aca="false">COUNTIF('Task Tracker'!E:E,"High")</f>
        <v>20</v>
      </c>
      <c r="C14" s="26" t="n">
        <f aca="false">COUNTIFS('Task Tracker'!E:E,"High",'Task Tracker'!D:D,"Done")</f>
        <v>0</v>
      </c>
      <c r="D14" s="26" t="n">
        <f aca="false">B14-C14</f>
        <v>20</v>
      </c>
    </row>
    <row r="15" customFormat="false" ht="19.5" hidden="false" customHeight="true" outlineLevel="0" collapsed="false">
      <c r="A15" s="27" t="s">
        <v>25</v>
      </c>
      <c r="B15" s="26" t="n">
        <f aca="false">COUNTIF('Task Tracker'!E:E,"Medium")</f>
        <v>21</v>
      </c>
      <c r="C15" s="26" t="n">
        <f aca="false">COUNTIFS('Task Tracker'!E:E,"Medium",'Task Tracker'!D:D,"Done")</f>
        <v>0</v>
      </c>
      <c r="D15" s="26" t="n">
        <f aca="false">B15-C15</f>
        <v>21</v>
      </c>
    </row>
    <row r="16" customFormat="false" ht="19.5" hidden="false" customHeight="true" outlineLevel="0" collapsed="false">
      <c r="A16" s="25" t="s">
        <v>46</v>
      </c>
      <c r="B16" s="26" t="n">
        <f aca="false">COUNTIF('Task Tracker'!E:E,"Low")</f>
        <v>9</v>
      </c>
      <c r="C16" s="26" t="n">
        <f aca="false">COUNTIFS('Task Tracker'!E:E,"Low",'Task Tracker'!D:D,"Done")</f>
        <v>0</v>
      </c>
      <c r="D16" s="26" t="n">
        <f aca="false">B16-C16</f>
        <v>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27.75" hidden="false" customHeight="true" outlineLevel="0" collapsed="false">
      <c r="A1" s="1" t="s">
        <v>210</v>
      </c>
      <c r="B1" s="1"/>
    </row>
    <row r="2" customFormat="false" ht="18" hidden="false" customHeight="true" outlineLevel="0" collapsed="false"/>
    <row r="3" customFormat="false" ht="18" hidden="false" customHeight="true" outlineLevel="0" collapsed="false">
      <c r="A3" s="28" t="s">
        <v>211</v>
      </c>
      <c r="B3" s="28"/>
    </row>
    <row r="4" customFormat="false" ht="18" hidden="false" customHeight="true" outlineLevel="0" collapsed="false">
      <c r="A4" s="29" t="s">
        <v>212</v>
      </c>
      <c r="B4" s="30" t="s">
        <v>213</v>
      </c>
    </row>
    <row r="5" customFormat="false" ht="18" hidden="false" customHeight="true" outlineLevel="0" collapsed="false">
      <c r="A5" s="31" t="s">
        <v>214</v>
      </c>
      <c r="B5" s="32" t="s">
        <v>215</v>
      </c>
    </row>
    <row r="6" customFormat="false" ht="18" hidden="false" customHeight="true" outlineLevel="0" collapsed="false">
      <c r="A6" s="29" t="s">
        <v>216</v>
      </c>
      <c r="B6" s="30" t="s">
        <v>217</v>
      </c>
    </row>
    <row r="7" customFormat="false" ht="18" hidden="false" customHeight="true" outlineLevel="0" collapsed="false">
      <c r="A7" s="31" t="s">
        <v>218</v>
      </c>
      <c r="B7" s="32" t="s">
        <v>219</v>
      </c>
    </row>
    <row r="8" customFormat="false" ht="18" hidden="false" customHeight="true" outlineLevel="0" collapsed="false">
      <c r="A8" s="29" t="s">
        <v>220</v>
      </c>
      <c r="B8" s="30" t="s">
        <v>221</v>
      </c>
    </row>
    <row r="9" customFormat="false" ht="18" hidden="false" customHeight="true" outlineLevel="0" collapsed="false"/>
    <row r="10" customFormat="false" ht="18" hidden="false" customHeight="true" outlineLevel="0" collapsed="false">
      <c r="A10" s="28" t="s">
        <v>222</v>
      </c>
      <c r="B10" s="28"/>
    </row>
    <row r="11" customFormat="false" ht="18" hidden="false" customHeight="true" outlineLevel="0" collapsed="false">
      <c r="A11" s="31" t="s">
        <v>223</v>
      </c>
      <c r="B11" s="32" t="s">
        <v>224</v>
      </c>
    </row>
    <row r="12" customFormat="false" ht="18" hidden="false" customHeight="true" outlineLevel="0" collapsed="false">
      <c r="A12" s="29" t="s">
        <v>225</v>
      </c>
      <c r="B12" s="30" t="s">
        <v>226</v>
      </c>
    </row>
    <row r="13" customFormat="false" ht="18" hidden="false" customHeight="true" outlineLevel="0" collapsed="false">
      <c r="A13" s="31" t="s">
        <v>227</v>
      </c>
      <c r="B13" s="32" t="s">
        <v>228</v>
      </c>
    </row>
    <row r="14" customFormat="false" ht="18" hidden="false" customHeight="true" outlineLevel="0" collapsed="false">
      <c r="A14" s="29" t="s">
        <v>229</v>
      </c>
      <c r="B14" s="30" t="s">
        <v>230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28" t="s">
        <v>231</v>
      </c>
      <c r="B16" s="28"/>
    </row>
    <row r="17" customFormat="false" ht="18" hidden="false" customHeight="true" outlineLevel="0" collapsed="false">
      <c r="A17" s="31" t="s">
        <v>15</v>
      </c>
      <c r="B17" s="32" t="s">
        <v>232</v>
      </c>
    </row>
    <row r="18" customFormat="false" ht="18" hidden="false" customHeight="true" outlineLevel="0" collapsed="false">
      <c r="A18" s="29" t="s">
        <v>199</v>
      </c>
      <c r="B18" s="30" t="s">
        <v>233</v>
      </c>
    </row>
    <row r="19" customFormat="false" ht="18" hidden="false" customHeight="true" outlineLevel="0" collapsed="false">
      <c r="A19" s="31" t="s">
        <v>198</v>
      </c>
      <c r="B19" s="32" t="s">
        <v>234</v>
      </c>
    </row>
    <row r="20" customFormat="false" ht="18" hidden="false" customHeight="true" outlineLevel="0" collapsed="false">
      <c r="A20" s="29" t="s">
        <v>200</v>
      </c>
      <c r="B20" s="30" t="s">
        <v>235</v>
      </c>
    </row>
    <row r="21" customFormat="false" ht="18" hidden="false" customHeight="true" outlineLevel="0" collapsed="false"/>
    <row r="22" customFormat="false" ht="18" hidden="false" customHeight="true" outlineLevel="0" collapsed="false">
      <c r="A22" s="28" t="s">
        <v>236</v>
      </c>
      <c r="B22" s="28"/>
    </row>
    <row r="23" customFormat="false" ht="18" hidden="false" customHeight="true" outlineLevel="0" collapsed="false">
      <c r="A23" s="31" t="s">
        <v>237</v>
      </c>
      <c r="B23" s="32" t="s">
        <v>238</v>
      </c>
    </row>
    <row r="24" customFormat="false" ht="18" hidden="false" customHeight="true" outlineLevel="0" collapsed="false">
      <c r="A24" s="29" t="s">
        <v>239</v>
      </c>
      <c r="B24" s="30" t="s">
        <v>240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28" t="s">
        <v>241</v>
      </c>
      <c r="B26" s="28"/>
    </row>
    <row r="27" customFormat="false" ht="18" hidden="false" customHeight="true" outlineLevel="0" collapsed="false">
      <c r="A27" s="31" t="s">
        <v>242</v>
      </c>
      <c r="B27" s="32" t="s">
        <v>243</v>
      </c>
    </row>
    <row r="28" customFormat="false" ht="18" hidden="false" customHeight="true" outlineLevel="0" collapsed="false">
      <c r="A28" s="29" t="s">
        <v>244</v>
      </c>
      <c r="B28" s="30" t="s">
        <v>245</v>
      </c>
    </row>
    <row r="29" customFormat="false" ht="18" hidden="false" customHeight="true" outlineLevel="0" collapsed="false">
      <c r="A29" s="31" t="s">
        <v>246</v>
      </c>
      <c r="B29" s="32" t="s">
        <v>247</v>
      </c>
    </row>
    <row r="30" customFormat="false" ht="18" hidden="false" customHeight="true" outlineLevel="0" collapsed="false">
      <c r="A30" s="29" t="s">
        <v>248</v>
      </c>
      <c r="B30" s="30" t="s">
        <v>249</v>
      </c>
    </row>
    <row r="31" customFormat="false" ht="18" hidden="false" customHeight="true" outlineLevel="0" collapsed="false"/>
    <row r="32" customFormat="false" ht="18" hidden="false" customHeight="true" outlineLevel="0" collapsed="false">
      <c r="A32" s="28" t="s">
        <v>250</v>
      </c>
      <c r="B32" s="28"/>
    </row>
    <row r="33" customFormat="false" ht="18" hidden="false" customHeight="true" outlineLevel="0" collapsed="false">
      <c r="A33" s="31" t="s">
        <v>251</v>
      </c>
      <c r="B33" s="32" t="s">
        <v>252</v>
      </c>
    </row>
    <row r="34" customFormat="false" ht="18" hidden="false" customHeight="true" outlineLevel="0" collapsed="false">
      <c r="A34" s="29" t="s">
        <v>253</v>
      </c>
      <c r="B34" s="30" t="s">
        <v>254</v>
      </c>
    </row>
    <row r="35" customFormat="false" ht="18" hidden="false" customHeight="true" outlineLevel="0" collapsed="false">
      <c r="A35" s="31" t="s">
        <v>255</v>
      </c>
      <c r="B35" s="32" t="s">
        <v>256</v>
      </c>
    </row>
  </sheetData>
  <mergeCells count="7">
    <mergeCell ref="A1:B1"/>
    <mergeCell ref="A3:B3"/>
    <mergeCell ref="A10:B10"/>
    <mergeCell ref="A16:B16"/>
    <mergeCell ref="A22:B22"/>
    <mergeCell ref="A26:B26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2026-03-21T22:32:09Z</dcterms:created>
  <dc:creator>openpyxl</dc:creator>
  <dc:description/>
  <dc:language>en-US</dc:language>
  <cp:lastModifiedBy/>
  <dcterms:modified xsi:type="dcterms:W3CDTF">2026-03-21T22:32:09Z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